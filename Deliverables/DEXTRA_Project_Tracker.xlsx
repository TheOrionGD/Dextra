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5945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Trello Board &amp; Tasks" sheetId="2" state="visible" r:id="rId2"/>
    <sheet xmlns:r="http://schemas.openxmlformats.org/officeDocument/2006/relationships" name="Developer Worklogs" sheetId="3" state="visible" r:id="rId3"/>
    <sheet xmlns:r="http://schemas.openxmlformats.org/officeDocument/2006/relationships" name="Bug Tracker &amp; QA Log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\-mm\-dd"/>
    <numFmt numFmtId="166" formatCode="0.0"/>
    <numFmt numFmtId="167" formatCode="yyyy-mm-dd h:mm:ss"/>
  </numFmts>
  <fonts count="9">
    <font>
      <name val="Calibri"/>
      <family val="2"/>
      <color theme="1"/>
      <sz val="11"/>
      <scheme val="minor"/>
    </font>
    <font>
      <name val="Segoe UI"/>
      <b val="1"/>
      <color rgb="FFFFFFFF"/>
      <sz val="16"/>
    </font>
    <font>
      <name val="Segoe UI"/>
      <b val="1"/>
      <color rgb="FF64748B"/>
      <sz val="9"/>
    </font>
    <font>
      <name val="Calibri"/>
      <color rgb="FFFFFFFF"/>
      <sz val="11"/>
    </font>
    <font>
      <name val="Segoe UI"/>
      <b val="1"/>
      <color rgb="FF0F172A"/>
      <sz val="20"/>
    </font>
    <font>
      <name val="Segoe UI"/>
      <b val="1"/>
      <color rgb="FF0F172A"/>
      <sz val="11"/>
    </font>
    <font>
      <name val="Segoe UI"/>
      <b val="1"/>
      <color rgb="FF000000"/>
      <sz val="10"/>
    </font>
    <font>
      <name val="Segoe UI"/>
      <b val="1"/>
      <color rgb="FFFFFFFF"/>
      <sz val="10"/>
    </font>
    <font>
      <name val="Segoe UI"/>
      <color rgb="FF334155"/>
      <sz val="10"/>
    </font>
  </fonts>
  <fills count="11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3B82F6"/>
        <bgColor rgb="FF3B82F6"/>
      </patternFill>
    </fill>
    <fill>
      <patternFill patternType="solid">
        <fgColor rgb="FFF8FAFC"/>
        <bgColor rgb="FFF8FAFC"/>
      </patternFill>
    </fill>
    <fill>
      <patternFill patternType="solid">
        <fgColor rgb="FF10B981"/>
        <bgColor rgb="FF10B981"/>
      </patternFill>
    </fill>
    <fill>
      <patternFill patternType="solid">
        <fgColor rgb="FFF59E0B"/>
        <bgColor rgb="FFF59E0B"/>
      </patternFill>
    </fill>
    <fill>
      <patternFill patternType="solid">
        <fgColor rgb="FFEF4444"/>
        <bgColor rgb="FFEF4444"/>
      </patternFill>
    </fill>
    <fill>
      <patternFill patternType="solid">
        <fgColor rgb="FFE2E8F0"/>
        <bgColor rgb="FFE2E8F0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</fills>
  <borders count="12">
    <border>
      <left/>
      <right/>
      <top/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pivotButton="0" quotePrefix="0" xfId="0"/>
    <xf numFmtId="0" fontId="6" fillId="0" borderId="5" pivotButton="0" quotePrefix="0" xfId="0"/>
    <xf numFmtId="164" fontId="6" fillId="0" borderId="5" pivotButton="0" quotePrefix="0" xfId="0"/>
    <xf numFmtId="0" fontId="7" fillId="9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 wrapText="1"/>
    </xf>
    <xf numFmtId="165" fontId="8" fillId="0" borderId="5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/>
    </xf>
    <xf numFmtId="0" fontId="8" fillId="10" borderId="5" applyAlignment="1" pivotButton="0" quotePrefix="0" xfId="0">
      <alignment horizontal="center" vertical="center"/>
    </xf>
    <xf numFmtId="0" fontId="8" fillId="10" borderId="5" applyAlignment="1" pivotButton="0" quotePrefix="0" xfId="0">
      <alignment horizontal="left" vertical="center" wrapText="1"/>
    </xf>
    <xf numFmtId="165" fontId="8" fillId="10" borderId="5" applyAlignment="1" pivotButton="0" quotePrefix="0" xfId="0">
      <alignment horizontal="center" vertical="center"/>
    </xf>
    <xf numFmtId="3" fontId="6" fillId="10" borderId="5" applyAlignment="1" pivotButton="0" quotePrefix="0" xfId="0">
      <alignment horizontal="center" vertical="center"/>
    </xf>
    <xf numFmtId="0" fontId="7" fillId="9" borderId="5" applyAlignment="1" pivotButton="0" quotePrefix="0" xfId="0">
      <alignment horizontal="center" vertical="center"/>
    </xf>
    <xf numFmtId="166" fontId="8" fillId="0" borderId="5" applyAlignment="1" pivotButton="0" quotePrefix="0" xfId="0">
      <alignment horizontal="center" vertical="center"/>
    </xf>
    <xf numFmtId="166" fontId="8" fillId="10" borderId="5" applyAlignment="1" pivotButton="0" quotePrefix="0" xfId="0">
      <alignment horizontal="center" vertical="center"/>
    </xf>
    <xf numFmtId="0" fontId="2" fillId="4" borderId="7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4" borderId="6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167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9</row>
      <rowOff>0</rowOff>
    </from>
    <to>
      <col>12</col>
      <colOff>892310</colOff>
      <row>36</row>
      <rowOff>114300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21"/>
  <sheetViews>
    <sheetView showGridLines="0" tabSelected="1" zoomScale="72" zoomScaleNormal="40" workbookViewId="0">
      <selection activeCell="O14" sqref="O14"/>
    </sheetView>
  </sheetViews>
  <sheetFormatPr baseColWidth="8" defaultRowHeight="14.4" customHeight="1"/>
  <cols>
    <col width="2" customWidth="1" style="23" min="2" max="2"/>
    <col width="14" customWidth="1" style="23" min="3" max="4"/>
    <col width="2" customWidth="1" style="23" min="5" max="5"/>
    <col width="14" customWidth="1" style="23" min="6" max="7"/>
    <col width="2" customWidth="1" style="23" min="8" max="8"/>
    <col width="32" customWidth="1" style="23" min="9" max="9"/>
    <col width="14" customWidth="1" style="23" min="10" max="10"/>
    <col width="2" customWidth="1" style="23" min="11" max="11"/>
    <col width="14" customWidth="1" style="23" min="12" max="13"/>
  </cols>
  <sheetData>
    <row r="2" ht="42.05" customHeight="1" s="23">
      <c r="B2" s="22" t="inlineStr">
        <is>
          <t>DEXTRA MANAGEMENT CONSOLE &amp; PROGRESS DASHBOARD</t>
        </is>
      </c>
    </row>
    <row r="4" ht="18" customHeight="1" s="23">
      <c r="B4" s="1" t="n"/>
      <c r="C4" s="20" t="inlineStr">
        <is>
          <t>TOTAL BACKLOG TASKS</t>
        </is>
      </c>
      <c r="D4" s="21" t="n"/>
      <c r="E4" s="2" t="n"/>
      <c r="F4" s="20" t="inlineStr">
        <is>
          <t>COMPLETED TASK ITEMS</t>
        </is>
      </c>
      <c r="G4" s="21" t="n"/>
      <c r="H4" s="3" t="n"/>
      <c r="I4" s="20" t="inlineStr">
        <is>
          <t>PROJECT COMPLETION PROGRESS</t>
        </is>
      </c>
      <c r="J4" s="21" t="n"/>
      <c r="K4" s="4" t="n"/>
      <c r="L4" s="20" t="inlineStr">
        <is>
          <t>ACTIVE QA TICKETS</t>
        </is>
      </c>
      <c r="M4" s="21" t="n"/>
      <c r="O4" s="5" t="inlineStr">
        <is>
          <t>Developer</t>
        </is>
      </c>
      <c r="P4" s="5" t="inlineStr">
        <is>
          <t>Total Days</t>
        </is>
      </c>
      <c r="R4" s="5" t="inlineStr">
        <is>
          <t>Status</t>
        </is>
      </c>
      <c r="S4" s="5" t="inlineStr">
        <is>
          <t>Count</t>
        </is>
      </c>
    </row>
    <row r="5" ht="18" customHeight="1" s="23">
      <c r="B5" s="1" t="n"/>
      <c r="C5" s="24">
        <f>'Trello Board &amp; Tasks'!C5</f>
        <v/>
      </c>
      <c r="D5" s="25" t="n"/>
      <c r="E5" s="2" t="n"/>
      <c r="F5" s="24">
        <f>'Trello Board &amp; Tasks'!C6</f>
        <v/>
      </c>
      <c r="G5" s="25" t="n"/>
      <c r="H5" s="3" t="n"/>
      <c r="I5" s="28">
        <f>'Trello Board &amp; Tasks'!C7</f>
        <v/>
      </c>
      <c r="J5" s="25" t="n"/>
      <c r="K5" s="4" t="n"/>
      <c r="L5" s="24">
        <f>COUNTIF('Bug Tracker &amp; QA Logs'!F$5:F$15, "Open")</f>
        <v/>
      </c>
      <c r="M5" s="25" t="n"/>
      <c r="O5" s="5" t="inlineStr">
        <is>
          <t>Salman</t>
        </is>
      </c>
      <c r="P5" s="5">
        <f>SUMIFS('Trello Board &amp; Tasks'!J$12:J$21, 'Trello Board &amp; Tasks'!C$12:C$21, "Salman")</f>
        <v/>
      </c>
      <c r="R5" s="5" t="inlineStr">
        <is>
          <t>To Do</t>
        </is>
      </c>
      <c r="S5" s="5">
        <f>COUNTIF('Trello Board &amp; Tasks'!B$12:B$21, "To Do")</f>
        <v/>
      </c>
    </row>
    <row r="6" ht="18" customHeight="1" s="23">
      <c r="B6" s="1" t="n"/>
      <c r="C6" s="26" t="n"/>
      <c r="D6" s="27" t="n"/>
      <c r="E6" s="2" t="n"/>
      <c r="F6" s="26" t="n"/>
      <c r="G6" s="27" t="n"/>
      <c r="H6" s="3" t="n"/>
      <c r="I6" s="26" t="n"/>
      <c r="J6" s="27" t="n"/>
      <c r="K6" s="4" t="n"/>
      <c r="L6" s="26" t="n"/>
      <c r="M6" s="27" t="n"/>
      <c r="O6" s="5" t="inlineStr">
        <is>
          <t>Logesh</t>
        </is>
      </c>
      <c r="P6" s="5">
        <f>SUMIFS('Trello Board &amp; Tasks'!J$12:J$21, 'Trello Board &amp; Tasks'!C$12:C$21, "Logesh")</f>
        <v/>
      </c>
      <c r="R6" s="5" t="inlineStr">
        <is>
          <t>In Progress</t>
        </is>
      </c>
      <c r="S6" s="5">
        <f>COUNTIF('Trello Board &amp; Tasks'!B$12:B$21, "In Progress")</f>
        <v/>
      </c>
    </row>
    <row r="7" ht="15.05" customHeight="1" s="23">
      <c r="O7" s="5" t="inlineStr">
        <is>
          <t>Muthamil</t>
        </is>
      </c>
      <c r="P7" s="5">
        <f>SUMIFS('Trello Board &amp; Tasks'!J$12:J$21, 'Trello Board &amp; Tasks'!C$12:C$21, "Muthamil")</f>
        <v/>
      </c>
      <c r="R7" s="5" t="inlineStr">
        <is>
          <t>Done</t>
        </is>
      </c>
      <c r="S7" s="5">
        <f>COUNTIF('Trello Board &amp; Tasks'!B$12:B$21, "Done")</f>
        <v/>
      </c>
    </row>
    <row r="8" ht="15.05" customHeight="1" s="23">
      <c r="O8" s="5" t="inlineStr">
        <is>
          <t>Godfrey</t>
        </is>
      </c>
      <c r="P8" s="5">
        <f>SUMIFS('Trello Board &amp; Tasks'!J$12:J$21, 'Trello Board &amp; Tasks'!C$12:C$21, "Godfrey")</f>
        <v/>
      </c>
    </row>
    <row r="21" ht="15.05" customHeight="1" s="23">
      <c r="B21" t="inlineStr">
        <is>
          <t>Done</t>
        </is>
      </c>
    </row>
  </sheetData>
  <mergeCells count="9">
    <mergeCell ref="F4:G4"/>
    <mergeCell ref="I4:J4"/>
    <mergeCell ref="L4:M4"/>
    <mergeCell ref="B2:I2"/>
    <mergeCell ref="F5:G6"/>
    <mergeCell ref="C5:D6"/>
    <mergeCell ref="I5:J6"/>
    <mergeCell ref="L5:M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2"/>
  <sheetViews>
    <sheetView topLeftCell="A12" zoomScale="85" zoomScaleNormal="100" workbookViewId="0">
      <selection activeCell="B20" sqref="B20"/>
    </sheetView>
  </sheetViews>
  <sheetFormatPr baseColWidth="8" defaultRowHeight="14.4" customHeight="1"/>
  <cols>
    <col width="15" customWidth="1" style="23" min="2" max="2"/>
    <col width="12" customWidth="1" style="23" min="3" max="3"/>
    <col width="26" customWidth="1" style="23" min="4" max="4"/>
    <col width="48" customWidth="1" style="23" min="5" max="5"/>
    <col width="28" customWidth="1" style="23" min="6" max="6"/>
    <col width="14" customWidth="1" style="23" min="7" max="7"/>
    <col width="13" customWidth="1" style="23" min="8" max="9"/>
    <col width="15" customWidth="1" style="23" min="10" max="10"/>
    <col width="40" customWidth="1" style="23" min="11" max="11"/>
  </cols>
  <sheetData>
    <row r="2" ht="40.1" customHeight="1" s="23">
      <c r="A2" s="22" t="inlineStr">
        <is>
          <t>DEXTRA PROJECT TASK ALLOTMENT BOARD</t>
        </is>
      </c>
    </row>
    <row r="4" ht="16.85" customHeight="1" s="23">
      <c r="B4" s="29" t="inlineStr">
        <is>
          <t>BOARD METRICS</t>
        </is>
      </c>
      <c r="C4" s="30" t="n"/>
      <c r="D4" s="31" t="n"/>
    </row>
    <row r="5" ht="15.05" customHeight="1" s="23">
      <c r="B5" s="6" t="inlineStr">
        <is>
          <t>Total Tasks</t>
        </is>
      </c>
      <c r="C5" s="6">
        <f>COUNTA(A12:A22)</f>
        <v/>
      </c>
      <c r="D5" s="6" t="n"/>
    </row>
    <row r="6" ht="15.05" customHeight="1" s="23">
      <c r="B6" s="6" t="inlineStr">
        <is>
          <t>Completed Tasks</t>
        </is>
      </c>
      <c r="C6" s="6">
        <f>COUNTIF(G12:G22, TRUE)</f>
        <v/>
      </c>
      <c r="D6" s="6" t="n"/>
    </row>
    <row r="7" ht="15.05" customHeight="1" s="23">
      <c r="B7" s="6" t="inlineStr">
        <is>
          <t>Progress %</t>
        </is>
      </c>
      <c r="C7" s="7">
        <f>IF(C5&gt;0, C6/C5, 0)</f>
        <v/>
      </c>
      <c r="D7" s="6" t="n"/>
    </row>
    <row r="11" ht="60.55" customHeight="1" s="23">
      <c r="A11" s="8" t="inlineStr">
        <is>
          <t>Task ID</t>
        </is>
      </c>
      <c r="B11" s="8" t="inlineStr">
        <is>
          <t>Board Column</t>
        </is>
      </c>
      <c r="C11" s="8" t="inlineStr">
        <is>
          <t>Owner</t>
        </is>
      </c>
      <c r="D11" s="8" t="inlineStr">
        <is>
          <t>Module</t>
        </is>
      </c>
      <c r="E11" s="8" t="inlineStr">
        <is>
          <t>Responsibilities &amp; Tasks</t>
        </is>
      </c>
      <c r="F11" s="8" t="inlineStr">
        <is>
          <t>Primary Files</t>
        </is>
      </c>
      <c r="G11" s="8" t="inlineStr">
        <is>
          <t>Completed?</t>
        </is>
      </c>
      <c r="H11" s="8" t="inlineStr">
        <is>
          <t>Start Date</t>
        </is>
      </c>
      <c r="I11" s="8" t="inlineStr">
        <is>
          <t>End Date</t>
        </is>
      </c>
      <c r="J11" s="8" t="inlineStr">
        <is>
          <t>Duration (Days)</t>
        </is>
      </c>
      <c r="K11" s="8" t="inlineStr">
        <is>
          <t>Helper Test Cases</t>
        </is>
      </c>
    </row>
    <row r="12" ht="60.55" customHeight="1" s="23">
      <c r="A12" t="inlineStr">
        <is>
          <t>T00</t>
        </is>
      </c>
      <c r="B12" t="inlineStr">
        <is>
          <t>Done</t>
        </is>
      </c>
      <c r="C12" t="inlineStr">
        <is>
          <t>Harihar R</t>
        </is>
      </c>
      <c r="D12" t="inlineStr">
        <is>
          <t>System Ideation &amp; Concept</t>
        </is>
      </c>
      <c r="E12" t="inlineStr">
        <is>
          <t>Conceived initial gesture-driven control concept, system requirements, and core architectural vision.</t>
        </is>
      </c>
      <c r="F12" t="inlineStr">
        <is>
          <t>README.md, DEXTRA_Proposal.pptx</t>
        </is>
      </c>
      <c r="G12" t="b">
        <v>1</v>
      </c>
      <c r="H12" s="32" t="n">
        <v>46193</v>
      </c>
      <c r="I12" s="32" t="n">
        <v>46198</v>
      </c>
    </row>
    <row r="13" ht="60.55" customHeight="1" s="23">
      <c r="A13" s="9" t="inlineStr">
        <is>
          <t>T01</t>
        </is>
      </c>
      <c r="B13" s="9" t="inlineStr">
        <is>
          <t>Done</t>
        </is>
      </c>
      <c r="C13" s="9" t="inlineStr">
        <is>
          <t>Mohamed Salman P</t>
        </is>
      </c>
      <c r="D13" s="10" t="inlineStr">
        <is>
          <t>Camera Feed &amp; Preprocessing</t>
        </is>
      </c>
      <c r="E13" s="10" t="inlineStr">
        <is>
          <t>Initialize camera index capture stream using OpenCV; crop, mirror, and scale frames matching MediaPipe requirements.</t>
        </is>
      </c>
      <c r="F13" s="10" t="inlineStr">
        <is>
          <t>python/camera.py</t>
        </is>
      </c>
      <c r="G13" s="9" t="b">
        <v>1</v>
      </c>
      <c r="H13" s="11" t="n">
        <v>46199</v>
      </c>
      <c r="I13" s="11" t="n">
        <v>46200</v>
      </c>
      <c r="J13" s="12">
        <f>I12-H12</f>
        <v/>
      </c>
      <c r="K13" s="10" t="inlineStr">
        <is>
          <t>Confirm VideoCapture opens device and releases locks cleanly.</t>
        </is>
      </c>
    </row>
    <row r="14" ht="60.55" customHeight="1" s="23">
      <c r="A14" s="13" t="inlineStr">
        <is>
          <t>T02</t>
        </is>
      </c>
      <c r="B14" s="13" t="inlineStr">
        <is>
          <t>Done</t>
        </is>
      </c>
      <c r="C14" s="13" t="inlineStr">
        <is>
          <t>Mohamed Salman P</t>
        </is>
      </c>
      <c r="D14" s="14" t="inlineStr">
        <is>
          <t>MediaPipe Landmark Tracker</t>
        </is>
      </c>
      <c r="E14" s="14" t="inlineStr">
        <is>
          <t>Run MediaPipe Hands model; detect and extract normalized coordinate array points for 21 landmarks.</t>
        </is>
      </c>
      <c r="F14" s="14" t="inlineStr">
        <is>
          <t>python/gesture_engine.py</t>
        </is>
      </c>
      <c r="G14" s="13" t="b">
        <v>1</v>
      </c>
      <c r="H14" s="15" t="n">
        <v>46201</v>
      </c>
      <c r="I14" s="15" t="n">
        <v>46203</v>
      </c>
      <c r="J14" s="16">
        <f>I13-H13</f>
        <v/>
      </c>
      <c r="K14" s="14" t="inlineStr">
        <is>
          <t>Verify tracking execution loop runs locally and outputs [0.0, 1.0] float coords.</t>
        </is>
      </c>
    </row>
    <row r="15" ht="60.55" customHeight="1" s="23">
      <c r="A15" s="9" t="inlineStr">
        <is>
          <t>T03</t>
        </is>
      </c>
      <c r="B15" s="9" t="inlineStr">
        <is>
          <t>Done</t>
        </is>
      </c>
      <c r="C15" s="9" t="inlineStr">
        <is>
          <t>Mohamed Salman P</t>
        </is>
      </c>
      <c r="D15" s="10" t="inlineStr">
        <is>
          <t>Mouse Execution Mapper</t>
        </is>
      </c>
      <c r="E15" s="10" t="inlineStr">
        <is>
          <t>Apply NumPy coordinate interpolation and moving average filter; execute clicks, scrolls, and drags via PyAutoGUI.</t>
        </is>
      </c>
      <c r="F15" s="10" t="inlineStr">
        <is>
          <t>python/gesture_mapping.py</t>
        </is>
      </c>
      <c r="G15" s="9" t="b">
        <v>1</v>
      </c>
      <c r="H15" s="11" t="n">
        <v>46201</v>
      </c>
      <c r="I15" s="11" t="n">
        <v>46203</v>
      </c>
      <c r="J15" s="12">
        <f>I14-H14</f>
        <v/>
      </c>
      <c r="K15" s="10" t="inlineStr">
        <is>
          <t>Test boundary coords (0 to screen width/height); verify cooldown prevents duplicate clicks; verify open palm freeze.</t>
        </is>
      </c>
    </row>
    <row r="16" ht="60.55" customHeight="1" s="23">
      <c r="A16" s="13" t="inlineStr">
        <is>
          <t>T04</t>
        </is>
      </c>
      <c r="B16" s="13" t="inlineStr">
        <is>
          <t>Done</t>
        </is>
      </c>
      <c r="C16" s="13" t="inlineStr">
        <is>
          <t>Logesh M</t>
        </is>
      </c>
      <c r="D16" s="14" t="inlineStr">
        <is>
          <t>Wakeword Detector</t>
        </is>
      </c>
      <c r="E16" s="14" t="inlineStr">
        <is>
          <t>Record background sound blocks using sounddevice; scan audio blocks for 'DEXTRA' custom activation keyword.</t>
        </is>
      </c>
      <c r="F16" s="14" t="inlineStr">
        <is>
          <t>python/voice_wakeword.py</t>
        </is>
      </c>
      <c r="G16" s="13" t="b">
        <v>1</v>
      </c>
      <c r="H16" s="15" t="n">
        <v>46204</v>
      </c>
      <c r="I16" s="15" t="n">
        <v>46206</v>
      </c>
      <c r="J16" s="16">
        <f>I15-H15</f>
        <v/>
      </c>
      <c r="K16" s="14" t="inlineStr">
        <is>
          <t>Verify microphone initialization and background ambient noise calibration.</t>
        </is>
      </c>
    </row>
    <row r="17" ht="60.55" customHeight="1" s="23">
      <c r="A17" s="9" t="inlineStr">
        <is>
          <t>T05</t>
        </is>
      </c>
      <c r="B17" s="9" t="inlineStr">
        <is>
          <t>Done</t>
        </is>
      </c>
      <c r="C17" s="9" t="inlineStr">
        <is>
          <t>Logesh M</t>
        </is>
      </c>
      <c r="D17" s="10" t="inlineStr">
        <is>
          <t>Hugging Face Transcriber</t>
        </is>
      </c>
      <c r="E17" s="10" t="inlineStr">
        <is>
          <t>Load Hugging Face transformers pipeline (Whisper-tiny); decode audio stream buffers into text commands.</t>
        </is>
      </c>
      <c r="F17" s="10" t="inlineStr">
        <is>
          <t>python/voice_engine.py</t>
        </is>
      </c>
      <c r="G17" s="9" t="b">
        <v>1</v>
      </c>
      <c r="H17" s="11" t="n">
        <v>46204</v>
      </c>
      <c r="I17" s="11" t="n">
        <v>46206</v>
      </c>
      <c r="J17" s="12">
        <f>I16-H16</f>
        <v/>
      </c>
      <c r="K17" s="10" t="inlineStr">
        <is>
          <t>Verify model imports and downloads locally; verify audio file segment STT translates in &lt;500ms.</t>
        </is>
      </c>
    </row>
    <row r="18" ht="60.55" customHeight="1" s="23">
      <c r="A18" s="13" t="inlineStr">
        <is>
          <t>T06</t>
        </is>
      </c>
      <c r="B18" s="13" t="inlineStr">
        <is>
          <t>Done</t>
        </is>
      </c>
      <c r="C18" s="13" t="inlineStr">
        <is>
          <t>Logesh M</t>
        </is>
      </c>
      <c r="D18" s="14" t="inlineStr">
        <is>
          <t>Voice Command Mapper</t>
        </is>
      </c>
      <c r="E18" s="14" t="inlineStr">
        <is>
          <t>Map transcribed text keywords to PyAutoGUI key hotkeys (e.g. 'copy' triggers Ctrl+C).</t>
        </is>
      </c>
      <c r="F18" s="14" t="inlineStr">
        <is>
          <t>python/voice_mapping.py</t>
        </is>
      </c>
      <c r="G18" s="13" t="b">
        <v>1</v>
      </c>
      <c r="H18" s="15" t="n">
        <v>46207</v>
      </c>
      <c r="I18" s="15" t="n">
        <v>46208</v>
      </c>
      <c r="J18" s="16">
        <f>I17-H17</f>
        <v/>
      </c>
      <c r="K18" s="14" t="inlineStr">
        <is>
          <t>Verify spoken navigation string matches mapped key command; test error logs for invalid words.</t>
        </is>
      </c>
    </row>
    <row r="19" ht="60.55" customHeight="1" s="23">
      <c r="A19" s="9" t="inlineStr">
        <is>
          <t>T07</t>
        </is>
      </c>
      <c r="B19" s="9" t="inlineStr">
        <is>
          <t>Done</t>
        </is>
      </c>
      <c r="C19" s="9" t="inlineStr">
        <is>
          <t>Muthamil V</t>
        </is>
      </c>
      <c r="D19" s="10" t="inlineStr">
        <is>
          <t>Config Database Manager</t>
        </is>
      </c>
      <c r="E19" s="10" t="inlineStr">
        <is>
          <t>Thread-safe read and write operations persisting parameters to settings.json and custom_gestures.json.</t>
        </is>
      </c>
      <c r="F19" s="10" t="inlineStr">
        <is>
          <t>python/config.py</t>
        </is>
      </c>
      <c r="G19" s="9" t="b">
        <v>1</v>
      </c>
      <c r="H19" s="11" t="n">
        <v>46199</v>
      </c>
      <c r="I19" s="11" t="n">
        <v>46200</v>
      </c>
      <c r="J19" s="12">
        <f>I18-H18</f>
        <v/>
      </c>
      <c r="K19" s="10" t="inlineStr">
        <is>
          <t>Confirm configuration values fall within target boundaries; test concurrent writes locks.</t>
        </is>
      </c>
    </row>
    <row r="20" ht="60.55" customHeight="1" s="23">
      <c r="A20" s="13" t="inlineStr">
        <is>
          <t>T08</t>
        </is>
      </c>
      <c r="B20" s="13" t="inlineStr">
        <is>
          <t>Done</t>
        </is>
      </c>
      <c r="C20" s="13" t="inlineStr">
        <is>
          <t>Muthamil V</t>
        </is>
      </c>
      <c r="D20" s="14" t="inlineStr">
        <is>
          <t>FastAPI Backend GUI Server</t>
        </is>
      </c>
      <c r="E20" s="14" t="inlineStr">
        <is>
          <t>Serve settings endpoints; host WebSocket feed streaming annotated JPEG frames; launch interactive menu CLI.</t>
        </is>
      </c>
      <c r="F20" s="14" t="inlineStr">
        <is>
          <t>python/gui_server.py, python/main.py</t>
        </is>
      </c>
      <c r="G20" s="13" t="b">
        <v>1</v>
      </c>
      <c r="H20" s="15" t="n">
        <v>46207</v>
      </c>
      <c r="I20" s="15" t="n">
        <v>46208</v>
      </c>
      <c r="J20" s="16">
        <f>I19-H19</f>
        <v/>
      </c>
      <c r="K20" s="14" t="inlineStr">
        <is>
          <t>Verify FastAPI initializes port 8000; verify GET/POST endpoints; test WebSocket connection disconnect recovery.</t>
        </is>
      </c>
    </row>
    <row r="21" ht="60.55" customHeight="1" s="23">
      <c r="A21" s="9" t="inlineStr">
        <is>
          <t>T09</t>
        </is>
      </c>
      <c r="B21" s="9" t="inlineStr">
        <is>
          <t>Done</t>
        </is>
      </c>
      <c r="C21" s="9" t="inlineStr">
        <is>
          <t>Godfrey T R</t>
        </is>
      </c>
      <c r="D21" s="10" t="inlineStr">
        <is>
          <t>React Settings GUI Console</t>
        </is>
      </c>
      <c r="E21" s="10" t="inlineStr">
        <is>
          <t>Build dark themed sliders/toggles to configure thresholds, camera indices, and custom wakewords.</t>
        </is>
      </c>
      <c r="F21" s="10" t="inlineStr">
        <is>
          <t>Frontend/</t>
        </is>
      </c>
      <c r="G21" s="9" t="b">
        <v>1</v>
      </c>
      <c r="H21" s="11" t="n">
        <v>46199</v>
      </c>
      <c r="I21" s="11" t="n">
        <v>46200</v>
      </c>
      <c r="J21" s="12">
        <f>I20-H20</f>
        <v/>
      </c>
      <c r="K21" s="10" t="inlineStr">
        <is>
          <t>Verify Vite local dev server runs on port 5173; verify forms state bindings to FastAPI REST schema.</t>
        </is>
      </c>
    </row>
    <row r="22">
      <c r="A22" s="13" t="inlineStr">
        <is>
          <t>T10</t>
        </is>
      </c>
      <c r="B22" s="13" t="inlineStr">
        <is>
          <t>Done</t>
        </is>
      </c>
      <c r="C22" s="13" t="inlineStr">
        <is>
          <t>Godfrey T R</t>
        </is>
      </c>
      <c r="D22" s="14" t="inlineStr">
        <is>
          <t>Gesture Trainer Console</t>
        </is>
      </c>
      <c r="E22" s="14" t="inlineStr">
        <is>
          <t>Develop HTML5 Canvas canvas drawing annotated WebSocket image streams; capture coordinates for custom gestures.</t>
        </is>
      </c>
      <c r="F22" s="10" t="inlineStr">
        <is>
          <t>Frontend/</t>
        </is>
      </c>
      <c r="G22" s="9" t="b">
        <v>1</v>
      </c>
      <c r="H22" s="15" t="n">
        <v>46209</v>
      </c>
      <c r="I22" s="15" t="n">
        <v>46210</v>
      </c>
      <c r="J22" s="16">
        <f>I21-H21</f>
        <v/>
      </c>
      <c r="K22" s="14" t="inlineStr">
        <is>
          <t>Verify Canvas renders streams smoothly at 30 FPS; verify save forms upload JSON structure.</t>
        </is>
      </c>
    </row>
  </sheetData>
  <mergeCells count="2">
    <mergeCell ref="A2:K2"/>
    <mergeCell ref="B4:D4"/>
  </mergeCells>
  <dataValidations count="1">
    <dataValidation sqref="B12:B21" showDropDown="0" showInputMessage="0" showErrorMessage="0" allowBlank="1" type="list">
      <formula1>"To Do,In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8"/>
  <sheetViews>
    <sheetView topLeftCell="A2" zoomScaleNormal="100" workbookViewId="0">
      <selection activeCell="G7" sqref="G7"/>
    </sheetView>
  </sheetViews>
  <sheetFormatPr baseColWidth="8" defaultRowHeight="14.4" customHeight="1"/>
  <cols>
    <col width="10" customWidth="1" style="23" min="1" max="1"/>
    <col width="14" customWidth="1" style="23" min="2" max="3"/>
    <col width="18" customWidth="1" style="23" min="4" max="4"/>
    <col width="65" customWidth="1" style="23" min="5" max="5"/>
    <col width="15" customWidth="1" style="23" min="6" max="6"/>
    <col width="16" customWidth="1" style="23" min="7" max="7"/>
  </cols>
  <sheetData>
    <row r="2" ht="40.1" customHeight="1" s="23">
      <c r="A2" s="22" t="inlineStr">
        <is>
          <t>DEXTRA DAILY WORKLOGS - LIVE UPDATES</t>
        </is>
      </c>
    </row>
    <row r="4" ht="45" customHeight="1" s="23">
      <c r="A4" s="17" t="inlineStr">
        <is>
          <t>Log ID</t>
        </is>
      </c>
      <c r="B4" s="17" t="inlineStr">
        <is>
          <t>Date</t>
        </is>
      </c>
      <c r="C4" s="17" t="inlineStr">
        <is>
          <t>Developer</t>
        </is>
      </c>
      <c r="D4" s="17" t="inlineStr">
        <is>
          <t>Task ID Reference</t>
        </is>
      </c>
      <c r="E4" s="17" t="inlineStr">
        <is>
          <t>Daily Work Details / Progress</t>
        </is>
      </c>
      <c r="F4" s="17" t="inlineStr">
        <is>
          <t>Hours Logged</t>
        </is>
      </c>
      <c r="G4" s="17" t="inlineStr">
        <is>
          <t>Status Update</t>
        </is>
      </c>
    </row>
    <row r="5" ht="45" customHeight="1" s="23">
      <c r="A5" t="inlineStr">
        <is>
          <t>L00</t>
        </is>
      </c>
      <c r="B5" s="32" t="n">
        <v>46198</v>
      </c>
      <c r="C5" t="inlineStr">
        <is>
          <t>Harihar R</t>
        </is>
      </c>
      <c r="D5" t="inlineStr">
        <is>
          <t>T00</t>
        </is>
      </c>
      <c r="E5" t="inlineStr">
        <is>
          <t>Conceived DEXTRA system architecture, touchless gesture control paradigm, and project scope.</t>
        </is>
      </c>
      <c r="F5" t="inlineStr">
        <is>
          <t>8hrs</t>
        </is>
      </c>
      <c r="G5" t="inlineStr">
        <is>
          <t>Done</t>
        </is>
      </c>
    </row>
    <row r="6" ht="45" customHeight="1" s="23">
      <c r="A6" s="9" t="inlineStr">
        <is>
          <t>L01</t>
        </is>
      </c>
      <c r="B6" s="11" t="n">
        <v>46199</v>
      </c>
      <c r="C6" s="9" t="inlineStr">
        <is>
          <t>Mohamed Salman P</t>
        </is>
      </c>
      <c r="D6" s="9" t="inlineStr">
        <is>
          <t>T01</t>
        </is>
      </c>
      <c r="E6" s="10" t="inlineStr">
        <is>
          <t>Initialized camera capture stream using OpenCV; implemented frame cropping, mirroring, and scaling.</t>
        </is>
      </c>
      <c r="F6" s="18" t="inlineStr">
        <is>
          <t>4hrs</t>
        </is>
      </c>
      <c r="G6" s="9" t="inlineStr">
        <is>
          <t>Done</t>
        </is>
      </c>
    </row>
    <row r="7" ht="45" customHeight="1" s="23">
      <c r="A7" s="9" t="inlineStr">
        <is>
          <t>L02</t>
        </is>
      </c>
      <c r="B7" s="11" t="n">
        <v>46199</v>
      </c>
      <c r="C7" s="13" t="inlineStr">
        <is>
          <t>Muthamil V</t>
        </is>
      </c>
      <c r="D7" s="13" t="inlineStr">
        <is>
          <t>T07</t>
        </is>
      </c>
      <c r="E7" s="14" t="inlineStr">
        <is>
          <t>Built thread-safe Config Manager persisting settings and custom gestures to JSON storage.</t>
        </is>
      </c>
      <c r="F7" s="19" t="inlineStr">
        <is>
          <t>3hrs</t>
        </is>
      </c>
      <c r="G7" s="9" t="inlineStr">
        <is>
          <t>Done</t>
        </is>
      </c>
    </row>
    <row r="8" ht="45" customHeight="1" s="23">
      <c r="A8" s="9" t="inlineStr">
        <is>
          <t>L03</t>
        </is>
      </c>
      <c r="B8" s="11" t="n">
        <v>46200</v>
      </c>
      <c r="C8" s="9" t="inlineStr">
        <is>
          <t>Godfrey T R</t>
        </is>
      </c>
      <c r="D8" s="9" t="inlineStr">
        <is>
          <t>T09</t>
        </is>
      </c>
      <c r="E8" s="10" t="inlineStr">
        <is>
          <t>Built React Settings GUI console with real-time controls for thresholds, camera indices, and wakewords.</t>
        </is>
      </c>
      <c r="F8" s="18" t="inlineStr">
        <is>
          <t>4hrs</t>
        </is>
      </c>
      <c r="G8" s="9" t="inlineStr">
        <is>
          <t>Done</t>
        </is>
      </c>
    </row>
    <row r="9" ht="45" customHeight="1" s="23">
      <c r="A9" s="9" t="inlineStr">
        <is>
          <t>L04</t>
        </is>
      </c>
      <c r="B9" s="11" t="n">
        <v>46201</v>
      </c>
      <c r="C9" s="13" t="inlineStr">
        <is>
          <t>Mohamed Salman P</t>
        </is>
      </c>
      <c r="D9" s="13" t="inlineStr">
        <is>
          <t>T02</t>
        </is>
      </c>
      <c r="E9" s="14" t="inlineStr">
        <is>
          <t>Implemented MediaPipe Hands model landmark tracker extracting 21 3D normalized coordinates.</t>
        </is>
      </c>
      <c r="F9" s="19" t="inlineStr">
        <is>
          <t>5hrs</t>
        </is>
      </c>
      <c r="G9" s="9" t="inlineStr">
        <is>
          <t>Done</t>
        </is>
      </c>
    </row>
    <row r="10" ht="45" customHeight="1" s="23">
      <c r="A10" s="9" t="inlineStr">
        <is>
          <t>L05</t>
        </is>
      </c>
      <c r="B10" s="11" t="n">
        <v>46202</v>
      </c>
      <c r="C10" s="9" t="inlineStr">
        <is>
          <t>Mohamed Salman P</t>
        </is>
      </c>
      <c r="D10" s="9" t="inlineStr">
        <is>
          <t>T03</t>
        </is>
      </c>
      <c r="E10" s="10" t="inlineStr">
        <is>
          <t>Created mouse execution mapper with NumPy coordinate smoothing and PyAutoGUI click/scroll actions.</t>
        </is>
      </c>
      <c r="F10" s="18" t="inlineStr">
        <is>
          <t>5hrs</t>
        </is>
      </c>
      <c r="G10" s="9" t="inlineStr">
        <is>
          <t>Done</t>
        </is>
      </c>
    </row>
    <row r="11" ht="28.8" customHeight="1" s="23">
      <c r="A11" s="9" t="inlineStr">
        <is>
          <t>L06</t>
        </is>
      </c>
      <c r="B11" s="11" t="n">
        <v>46204</v>
      </c>
      <c r="C11" s="13" t="inlineStr">
        <is>
          <t>Logesh M</t>
        </is>
      </c>
      <c r="D11" s="13" t="inlineStr">
        <is>
          <t>T04</t>
        </is>
      </c>
      <c r="E11" s="14" t="inlineStr">
        <is>
          <t>Configured sounddevice background sound recording and ambient noise calibrated wakeword engine.</t>
        </is>
      </c>
      <c r="F11" s="19" t="inlineStr">
        <is>
          <t>4hrs</t>
        </is>
      </c>
      <c r="G11" s="9" t="inlineStr">
        <is>
          <t>Done</t>
        </is>
      </c>
    </row>
    <row r="12" ht="28.8" customHeight="1" s="23">
      <c r="A12" s="9" t="inlineStr">
        <is>
          <t>L07</t>
        </is>
      </c>
      <c r="B12" s="11" t="n">
        <v>46205</v>
      </c>
      <c r="C12" s="9" t="inlineStr">
        <is>
          <t>Logesh M</t>
        </is>
      </c>
      <c r="D12" s="9" t="inlineStr">
        <is>
          <t>T05</t>
        </is>
      </c>
      <c r="E12" s="10" t="inlineStr">
        <is>
          <t>Integrated Hugging Face Whisper-tiny transformer pipeline STT speech-to-text decoder.</t>
        </is>
      </c>
      <c r="F12" s="18" t="inlineStr">
        <is>
          <t>6hrs</t>
        </is>
      </c>
      <c r="G12" s="9" t="inlineStr">
        <is>
          <t>Done</t>
        </is>
      </c>
    </row>
    <row r="13" ht="28.8" customHeight="1" s="23">
      <c r="A13" s="9" t="inlineStr">
        <is>
          <t>L08</t>
        </is>
      </c>
      <c r="B13" s="11" t="n">
        <v>46206</v>
      </c>
      <c r="C13" s="13" t="inlineStr">
        <is>
          <t>Godfrey T R</t>
        </is>
      </c>
      <c r="D13" s="13" t="inlineStr">
        <is>
          <t>T09</t>
        </is>
      </c>
      <c r="E13" s="14" t="inlineStr">
        <is>
          <t>Refined UI dark-themed design system, slider components, and REST API state bindings.</t>
        </is>
      </c>
      <c r="F13" s="19" t="inlineStr">
        <is>
          <t>3hrs</t>
        </is>
      </c>
      <c r="G13" s="9" t="inlineStr">
        <is>
          <t>Done</t>
        </is>
      </c>
    </row>
    <row r="14" ht="15.05" customHeight="1" s="23">
      <c r="A14" s="9" t="inlineStr">
        <is>
          <t>L09</t>
        </is>
      </c>
      <c r="B14" s="11" t="n">
        <v>46207</v>
      </c>
      <c r="C14" s="9" t="inlineStr">
        <is>
          <t>Godfrey T R</t>
        </is>
      </c>
      <c r="D14" s="9" t="inlineStr">
        <is>
          <t>T10</t>
        </is>
      </c>
      <c r="E14" s="10" t="inlineStr">
        <is>
          <t>Developed Gesture Trainer UI canvas with live WebSocket streaming &amp; custom gesture coordinate capture.</t>
        </is>
      </c>
      <c r="F14" s="18" t="inlineStr">
        <is>
          <t>4hrs</t>
        </is>
      </c>
      <c r="G14" s="9" t="inlineStr">
        <is>
          <t>Done</t>
        </is>
      </c>
    </row>
    <row r="15" ht="28.8" customHeight="1" s="23">
      <c r="A15" s="9" t="inlineStr">
        <is>
          <t>L10</t>
        </is>
      </c>
      <c r="B15" s="11" t="n">
        <v>46207</v>
      </c>
      <c r="C15" s="13" t="inlineStr">
        <is>
          <t>Logesh M</t>
        </is>
      </c>
      <c r="D15" s="13" t="inlineStr">
        <is>
          <t>T06</t>
        </is>
      </c>
      <c r="E15" s="14" t="inlineStr">
        <is>
          <t>Mapped transcribed voice command keywords to PyAutoGUI OS hotkeys.</t>
        </is>
      </c>
      <c r="F15" s="19" t="inlineStr">
        <is>
          <t>4hrs</t>
        </is>
      </c>
      <c r="G15" s="9" t="inlineStr">
        <is>
          <t>Done</t>
        </is>
      </c>
    </row>
    <row r="16" ht="28.8" customHeight="1" s="23">
      <c r="A16" s="9" t="inlineStr">
        <is>
          <t>L11</t>
        </is>
      </c>
      <c r="B16" s="11" t="n">
        <v>46208</v>
      </c>
      <c r="C16" s="9" t="inlineStr">
        <is>
          <t>Muthamil V</t>
        </is>
      </c>
      <c r="D16" s="9" t="inlineStr">
        <is>
          <t>T08</t>
        </is>
      </c>
      <c r="E16" s="10" t="inlineStr">
        <is>
          <t>Built FastAPI REST backend &amp; WebSocket endpoints streaming annotated JPEG frames and trainer data.</t>
        </is>
      </c>
      <c r="F16" s="18" t="inlineStr">
        <is>
          <t>6hrs</t>
        </is>
      </c>
      <c r="G16" s="9" t="inlineStr">
        <is>
          <t>Done</t>
        </is>
      </c>
    </row>
    <row r="17" ht="28.8" customHeight="1" s="23">
      <c r="A17" s="9" t="inlineStr">
        <is>
          <t>L12</t>
        </is>
      </c>
      <c r="B17" s="11" t="n">
        <v>46226</v>
      </c>
      <c r="C17" s="13" t="inlineStr">
        <is>
          <t>Godfrey T R</t>
        </is>
      </c>
      <c r="D17" s="13" t="inlineStr">
        <is>
          <t>T08/B02</t>
        </is>
      </c>
      <c r="E17" s="14" t="inlineStr">
        <is>
          <t>Diagnosed and fixed WebSocket stream disconnect handling on /trainer/stream &amp; /voice/stream endpoints.</t>
        </is>
      </c>
      <c r="F17" s="19" t="inlineStr">
        <is>
          <t>4hrs</t>
        </is>
      </c>
      <c r="G17" s="9" t="inlineStr">
        <is>
          <t>Done</t>
        </is>
      </c>
    </row>
    <row r="18">
      <c r="A18" s="9" t="inlineStr">
        <is>
          <t>L13</t>
        </is>
      </c>
      <c r="B18" s="11" t="n">
        <v>46226</v>
      </c>
      <c r="C18" s="9" t="inlineStr">
        <is>
          <t>Mohamed Salman P</t>
        </is>
      </c>
      <c r="D18" s="9" t="inlineStr">
        <is>
          <t>T02/B03</t>
        </is>
      </c>
      <c r="E18" s="10" t="inlineStr">
        <is>
          <t>Resolved MediaPipe clearcut telemetry upload connection errors (Status_ConnectFailed: 12029).</t>
        </is>
      </c>
      <c r="F18" s="18" t="inlineStr">
        <is>
          <t>3hrs</t>
        </is>
      </c>
      <c r="G18" s="9" t="inlineStr">
        <is>
          <t>Done</t>
        </is>
      </c>
    </row>
  </sheetData>
  <mergeCells count="1">
    <mergeCell ref="A2:G2"/>
  </mergeCells>
  <dataValidations count="3">
    <dataValidation sqref="C5:C10" showDropDown="0" showInputMessage="0" showErrorMessage="0" allowBlank="1" type="list">
      <formula1>"Salman,Logesh,Muthamil,Godfrey"</formula1>
    </dataValidation>
    <dataValidation sqref="D5:D10" showDropDown="0" showInputMessage="0" showErrorMessage="0" allowBlank="1" type="list">
      <formula1>"T01,T02,T03,T04,T05,T06,T07,T08,T09,T10"</formula1>
    </dataValidation>
    <dataValidation sqref="G5:G10" showDropDown="0" showInputMessage="1" showErrorMessage="1" allowBlank="1" type="list">
      <formula1>"In Progess, 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0"/>
  <sheetViews>
    <sheetView zoomScaleNormal="100" workbookViewId="0">
      <selection activeCell="H5" sqref="H5"/>
    </sheetView>
  </sheetViews>
  <sheetFormatPr baseColWidth="8" defaultRowHeight="14.4" customHeight="1"/>
  <cols>
    <col width="10" customWidth="1" style="23" min="1" max="1"/>
    <col width="22" customWidth="1" style="23" min="2" max="2"/>
    <col width="12" customWidth="1" style="23" min="3" max="3"/>
    <col width="45" customWidth="1" style="23" min="4" max="4"/>
    <col width="16" customWidth="1" style="23" min="5" max="5"/>
    <col width="14" customWidth="1" style="23" min="6" max="8"/>
    <col width="40" customWidth="1" style="23" min="9" max="9"/>
  </cols>
  <sheetData>
    <row r="2" ht="40.1" customHeight="1" s="23">
      <c r="A2" s="22" t="inlineStr">
        <is>
          <t>DEXTRA QA BUG TRACKER &amp; TICKETS</t>
        </is>
      </c>
    </row>
    <row r="4" ht="24.05" customHeight="1" s="23">
      <c r="A4" s="17" t="inlineStr">
        <is>
          <t>Bug ID</t>
        </is>
      </c>
      <c r="B4" s="17" t="inlineStr">
        <is>
          <t>Target Module</t>
        </is>
      </c>
      <c r="C4" s="17" t="inlineStr">
        <is>
          <t>Severity</t>
        </is>
      </c>
      <c r="D4" s="17" t="inlineStr">
        <is>
          <t>Bug Description</t>
        </is>
      </c>
      <c r="E4" s="17" t="inlineStr">
        <is>
          <t>Assigned Owner</t>
        </is>
      </c>
      <c r="F4" s="17" t="inlineStr">
        <is>
          <t>Status</t>
        </is>
      </c>
      <c r="G4" s="17" t="inlineStr">
        <is>
          <t>Date Opened</t>
        </is>
      </c>
      <c r="H4" s="17" t="inlineStr">
        <is>
          <t>Date Closed</t>
        </is>
      </c>
      <c r="I4" s="17" t="inlineStr">
        <is>
          <t>Resolution Notes</t>
        </is>
      </c>
    </row>
    <row r="5" ht="41.4" customHeight="1" s="23">
      <c r="A5" s="9" t="inlineStr">
        <is>
          <t>B01</t>
        </is>
      </c>
      <c r="B5" s="10" t="inlineStr">
        <is>
          <t>python/camera.py</t>
        </is>
      </c>
      <c r="C5" s="9" t="inlineStr">
        <is>
          <t>Medium</t>
        </is>
      </c>
      <c r="D5" s="10" t="inlineStr">
        <is>
          <t>OpenCV VideoCapture camera resource locking on server restart causing frame capture freeze.</t>
        </is>
      </c>
      <c r="E5" s="9" t="inlineStr">
        <is>
          <t>Mohamed Salman P</t>
        </is>
      </c>
      <c r="F5" s="9" t="inlineStr">
        <is>
          <t>Closed</t>
        </is>
      </c>
      <c r="G5" s="11" t="n">
        <v>46201</v>
      </c>
      <c r="H5" s="11" t="n">
        <v>46201</v>
      </c>
      <c r="I5" s="10" t="inlineStr">
        <is>
          <t>Added try-finally cleanup blocks and explicit camera.release() calls on stream shutdown.</t>
        </is>
      </c>
    </row>
    <row r="6" ht="41.4" customHeight="1" s="23">
      <c r="A6" s="13" t="inlineStr">
        <is>
          <t>B02</t>
        </is>
      </c>
      <c r="B6" s="14" t="inlineStr">
        <is>
          <t>python/gui_server.py</t>
        </is>
      </c>
      <c r="C6" s="13" t="inlineStr">
        <is>
          <t>High</t>
        </is>
      </c>
      <c r="D6" s="14" t="inlineStr">
        <is>
          <t>FastAPI WebSocket stream disconnect error on /trainer/stream when client closes connection.</t>
        </is>
      </c>
      <c r="E6" s="13" t="inlineStr">
        <is>
          <t>Muthamil V</t>
        </is>
      </c>
      <c r="F6" s="13" t="inlineStr">
        <is>
          <t>Closed</t>
        </is>
      </c>
      <c r="G6" s="15" t="n">
        <v>46225</v>
      </c>
      <c r="H6" s="15" t="n">
        <v>46226</v>
      </c>
      <c r="I6" s="14" t="inlineStr">
        <is>
          <t>Handled WebSocketDisconnect exception gracefully and added client connection manager to prevent crashing worker tasks.</t>
        </is>
      </c>
    </row>
    <row r="7" ht="41.4" customHeight="1" s="23">
      <c r="A7" s="9" t="inlineStr">
        <is>
          <t>B03</t>
        </is>
      </c>
      <c r="B7" s="10" t="inlineStr">
        <is>
          <t>python/gesture_engine.py</t>
        </is>
      </c>
      <c r="C7" s="9" t="inlineStr">
        <is>
          <t>Medium</t>
        </is>
      </c>
      <c r="D7" s="10" t="inlineStr">
        <is>
          <t>MediaPipe clearcut telemetry upload failures (Status_ConnectFailed: 12029) due to restricted network.</t>
        </is>
      </c>
      <c r="E7" s="9" t="inlineStr">
        <is>
          <t>Mohamed Salman P</t>
        </is>
      </c>
      <c r="F7" s="9" t="inlineStr">
        <is>
          <t>Closed</t>
        </is>
      </c>
      <c r="G7" s="11" t="n">
        <v>46225</v>
      </c>
      <c r="H7" s="11" t="n">
        <v>46226</v>
      </c>
      <c r="I7" s="10" t="inlineStr">
        <is>
          <t>Disabled Clearcut telemetry background uploads via environment configuration and suppressed offline warnings.</t>
        </is>
      </c>
    </row>
    <row r="8" ht="41.4" customHeight="1" s="23">
      <c r="A8" s="13" t="inlineStr">
        <is>
          <t>B04</t>
        </is>
      </c>
      <c r="B8" s="14" t="inlineStr">
        <is>
          <t>python/gesture_mapping.py</t>
        </is>
      </c>
      <c r="C8" s="13" t="inlineStr">
        <is>
          <t>High</t>
        </is>
      </c>
      <c r="D8" s="14" t="inlineStr">
        <is>
          <t>Mouse cursor jitter and accidental double-clicks during fast hand movements.</t>
        </is>
      </c>
      <c r="E8" s="13" t="inlineStr">
        <is>
          <t>Mohamed Salman P</t>
        </is>
      </c>
      <c r="F8" s="13" t="inlineStr">
        <is>
          <t>Closed</t>
        </is>
      </c>
      <c r="G8" s="15" t="n">
        <v>46205</v>
      </c>
      <c r="H8" s="15" t="n">
        <v>46206</v>
      </c>
      <c r="I8" s="14" t="inlineStr">
        <is>
          <t>Implemented Exponential Moving Average (EMA) smoothing filter (alpha=0.35) and added click cooldown timer.</t>
        </is>
      </c>
    </row>
    <row r="9" ht="41.4" customHeight="1" s="23">
      <c r="A9" s="9" t="inlineStr">
        <is>
          <t>B05</t>
        </is>
      </c>
      <c r="B9" s="10" t="inlineStr">
        <is>
          <t>python/voice_wakeword.py</t>
        </is>
      </c>
      <c r="C9" s="9" t="inlineStr">
        <is>
          <t>Medium</t>
        </is>
      </c>
      <c r="D9" s="10" t="inlineStr">
        <is>
          <t>High CPU utilization and audio buffer overflow during continuous background sound recording.</t>
        </is>
      </c>
      <c r="E9" s="9" t="inlineStr">
        <is>
          <t>Logesh M</t>
        </is>
      </c>
      <c r="F9" s="9" t="inlineStr">
        <is>
          <t>Closed</t>
        </is>
      </c>
      <c r="G9" s="11" t="n">
        <v>46206</v>
      </c>
      <c r="H9" s="11" t="n">
        <v>46207</v>
      </c>
      <c r="I9" s="10" t="inlineStr">
        <is>
          <t>Optimized sounddevice blocksize to 1024 samples and implemented ring buffer queue processing.</t>
        </is>
      </c>
    </row>
    <row r="10" ht="41.4" customHeight="1" s="23">
      <c r="A10" s="13" t="inlineStr">
        <is>
          <t>B06</t>
        </is>
      </c>
      <c r="B10" s="14" t="inlineStr">
        <is>
          <t>Git Repository</t>
        </is>
      </c>
      <c r="C10" s="13" t="inlineStr">
        <is>
          <t>Low</t>
        </is>
      </c>
      <c r="D10" s="14" t="inlineStr">
        <is>
          <t>Default tracking branch misalignment and orphan remote tracking branch theoriongd on GitHub.</t>
        </is>
      </c>
      <c r="E10" s="13" t="inlineStr">
        <is>
          <t>Godfrey T R</t>
        </is>
      </c>
      <c r="F10" s="13" t="inlineStr">
        <is>
          <t>Closed</t>
        </is>
      </c>
      <c r="G10" s="15" t="n">
        <v>46226</v>
      </c>
      <c r="H10" s="15" t="n">
        <v>46226</v>
      </c>
      <c r="I10" s="14" t="inlineStr">
        <is>
          <t>Updated local remote HEAD to dextra branch and deleted obsolete theoriongd branch remotely.</t>
        </is>
      </c>
    </row>
    <row r="11" ht="41.4" customHeight="1" s="23"/>
  </sheetData>
  <mergeCells count="1">
    <mergeCell ref="A2:I2"/>
  </mergeCells>
  <conditionalFormatting sqref="F5:F15">
    <cfRule type="cellIs" priority="1" operator="equal" dxfId="0">
      <formula>"Open"</formula>
    </cfRule>
  </conditionalFormatting>
  <dataValidations count="2">
    <dataValidation sqref="C5:C10" showDropDown="0" showInputMessage="0" showErrorMessage="0" allowBlank="1" type="list">
      <formula1>"High,Medium,Low"</formula1>
    </dataValidation>
    <dataValidation sqref="F5:F10" showDropDown="0" showInputMessage="0" showErrorMessage="0" allowBlank="1" type="list">
      <formula1>"Open,Investigation,Resolved,Closed"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2026-06-25T07:14:49Z</dcterms:created>
  <dcterms:modified xmlns:dcterms="http://purl.org/dc/terms/" xmlns:xsi="http://www.w3.org/2001/XMLSchema-instance" xsi:type="dcterms:W3CDTF">2026-07-23T05:28:01Z</dcterms:modified>
  <cp:lastModifiedBy>TheOrion GD</cp:lastModifiedBy>
</cp:coreProperties>
</file>