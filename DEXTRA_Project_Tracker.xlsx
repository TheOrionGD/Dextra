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Dextra\"/>
    </mc:Choice>
  </mc:AlternateContent>
  <xr:revisionPtr revIDLastSave="0" documentId="13_ncr:1_{FAE322F1-964E-44EA-A812-C438454E1D8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Overview Dashboard" sheetId="1" r:id="rId1"/>
    <sheet name="Trello Board &amp; Tasks" sheetId="2" r:id="rId2"/>
    <sheet name="Developer Worklogs" sheetId="3" r:id="rId3"/>
    <sheet name="Bug Tracker &amp; QA Lo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" l="1"/>
  <c r="J20" i="2"/>
  <c r="J19" i="2"/>
  <c r="J18" i="2"/>
  <c r="J17" i="2"/>
  <c r="J16" i="2"/>
  <c r="J15" i="2"/>
  <c r="J14" i="2"/>
  <c r="J13" i="2"/>
  <c r="J12" i="2"/>
  <c r="C6" i="2"/>
  <c r="C5" i="2"/>
  <c r="P8" i="1"/>
  <c r="S7" i="1"/>
  <c r="P7" i="1"/>
  <c r="S6" i="1"/>
  <c r="P6" i="1"/>
  <c r="S5" i="1"/>
  <c r="P5" i="1"/>
  <c r="L5" i="1"/>
  <c r="C7" i="2" l="1"/>
  <c r="I5" i="1" s="1"/>
  <c r="F5" i="1"/>
  <c r="C5" i="1"/>
</calcChain>
</file>

<file path=xl/sharedStrings.xml><?xml version="1.0" encoding="utf-8"?>
<sst xmlns="http://schemas.openxmlformats.org/spreadsheetml/2006/main" count="131" uniqueCount="104">
  <si>
    <t>DEXTRA MANAGEMENT CONSOLE &amp; PROGRESS DASHBOARD</t>
  </si>
  <si>
    <t>TOTAL BACKLOG TASKS</t>
  </si>
  <si>
    <t>COMPLETED TASK ITEMS</t>
  </si>
  <si>
    <t>PROJECT COMPLETION PROGRESS</t>
  </si>
  <si>
    <t>ACTIVE QA TICKETS</t>
  </si>
  <si>
    <t>Developer</t>
  </si>
  <si>
    <t>Total Days</t>
  </si>
  <si>
    <t>Status</t>
  </si>
  <si>
    <t>Count</t>
  </si>
  <si>
    <t>Salman</t>
  </si>
  <si>
    <t>To Do</t>
  </si>
  <si>
    <t>Logesh</t>
  </si>
  <si>
    <t>In Progress</t>
  </si>
  <si>
    <t>Muthamil</t>
  </si>
  <si>
    <t>Done</t>
  </si>
  <si>
    <t>Godfrey</t>
  </si>
  <si>
    <t>DEXTRA PROJECT TASK ALLOTMENT BOARD</t>
  </si>
  <si>
    <t>BOARD METRICS</t>
  </si>
  <si>
    <t>Total Tasks</t>
  </si>
  <si>
    <t>Completed Tasks</t>
  </si>
  <si>
    <t>Progress %</t>
  </si>
  <si>
    <t>Task ID</t>
  </si>
  <si>
    <t>Board Column</t>
  </si>
  <si>
    <t>Owner</t>
  </si>
  <si>
    <t>Module</t>
  </si>
  <si>
    <t>Responsibilities &amp; Tasks</t>
  </si>
  <si>
    <t>Primary Files</t>
  </si>
  <si>
    <t>Completed?</t>
  </si>
  <si>
    <t>Start Date</t>
  </si>
  <si>
    <t>End Date</t>
  </si>
  <si>
    <t>Duration (Days)</t>
  </si>
  <si>
    <t>Helper Test Cases</t>
  </si>
  <si>
    <t>T01</t>
  </si>
  <si>
    <t>Camera Feed &amp; Preprocessing</t>
  </si>
  <si>
    <t>Initialize camera index capture stream using OpenCV; crop, mirror, and scale frames matching MediaPipe requirements.</t>
  </si>
  <si>
    <t>python/camera.py</t>
  </si>
  <si>
    <t>Confirm VideoCapture opens device and releases locks cleanly.</t>
  </si>
  <si>
    <t>T02</t>
  </si>
  <si>
    <t>MediaPipe Landmark Tracker</t>
  </si>
  <si>
    <t>Run MediaPipe Hands model; detect and extract normalized coordinate array points for 21 landmarks.</t>
  </si>
  <si>
    <t>python/gesture_engine.py</t>
  </si>
  <si>
    <t>Verify tracking execution loop runs locally and outputs [0.0, 1.0] float coords.</t>
  </si>
  <si>
    <t>T03</t>
  </si>
  <si>
    <t>Mouse Execution Mapper</t>
  </si>
  <si>
    <t>Apply NumPy coordinate interpolation and moving average filter; execute clicks, scrolls, and drags via PyAutoGUI.</t>
  </si>
  <si>
    <t>python/gesture_mapping.py</t>
  </si>
  <si>
    <t>Test boundary coords (0 to screen width/height); verify cooldown prevents duplicate clicks; verify open palm freeze.</t>
  </si>
  <si>
    <t>T04</t>
  </si>
  <si>
    <t>Wakeword Detector</t>
  </si>
  <si>
    <t>Record background sound blocks using sounddevice; scan audio blocks for 'DEXTRA' custom activation keyword.</t>
  </si>
  <si>
    <t>python/voice_wakeword.py</t>
  </si>
  <si>
    <t>Verify microphone initialization and background ambient noise calibration.</t>
  </si>
  <si>
    <t>T05</t>
  </si>
  <si>
    <t>Hugging Face Transcriber</t>
  </si>
  <si>
    <t>Load Hugging Face transformers pipeline (Whisper-tiny); decode audio stream buffers into text commands.</t>
  </si>
  <si>
    <t>python/voice_engine.py</t>
  </si>
  <si>
    <t>Verify model imports and downloads locally; verify audio file segment STT translates in &lt;500ms.</t>
  </si>
  <si>
    <t>T06</t>
  </si>
  <si>
    <t>Voice Command Mapper</t>
  </si>
  <si>
    <t>Map transcribed text keywords to PyAutoGUI key hotkeys (e.g. 'copy' triggers Ctrl+C).</t>
  </si>
  <si>
    <t>python/voice_mapping.py</t>
  </si>
  <si>
    <t>Verify spoken navigation string matches mapped key command; test error logs for invalid words.</t>
  </si>
  <si>
    <t>T07</t>
  </si>
  <si>
    <t>Config Database Manager</t>
  </si>
  <si>
    <t>Thread-safe read and write operations persisting parameters to settings.json and custom_gestures.json.</t>
  </si>
  <si>
    <t>python/config.py</t>
  </si>
  <si>
    <t>Confirm configuration values fall within target boundaries; test concurrent writes locks.</t>
  </si>
  <si>
    <t>T08</t>
  </si>
  <si>
    <t>FastAPI Backend GUI Server</t>
  </si>
  <si>
    <t>Serve settings endpoints; host WebSocket feed streaming annotated JPEG frames; launch interactive menu CLI.</t>
  </si>
  <si>
    <t>python/gui_server.py, python/main.py</t>
  </si>
  <si>
    <t>Verify FastAPI initializes port 8000; verify GET/POST endpoints; test WebSocket connection disconnect recovery.</t>
  </si>
  <si>
    <t>T09</t>
  </si>
  <si>
    <t>React Settings GUI Console</t>
  </si>
  <si>
    <t>Build dark themed sliders/toggles to configure thresholds, camera indices, and custom wakewords.</t>
  </si>
  <si>
    <t>Verify Vite local dev server runs on port 5173; verify forms state bindings to FastAPI REST schema.</t>
  </si>
  <si>
    <t>T10</t>
  </si>
  <si>
    <t>Gesture Trainer Console</t>
  </si>
  <si>
    <t>Develop HTML5 Canvas canvas drawing annotated WebSocket image streams; capture coordinates for custom gestures.</t>
  </si>
  <si>
    <t>Verify Canvas renders streams smoothly at 30 FPS; verify save forms upload JSON structure.</t>
  </si>
  <si>
    <t>DEXTRA DAILY WORKLOGS - LIVE UPDATES</t>
  </si>
  <si>
    <t>Log ID</t>
  </si>
  <si>
    <t>Date</t>
  </si>
  <si>
    <t>Task ID Reference</t>
  </si>
  <si>
    <t>Daily Work Details / Progress</t>
  </si>
  <si>
    <t>Hours Logged</t>
  </si>
  <si>
    <t>Status Update</t>
  </si>
  <si>
    <t>L01</t>
  </si>
  <si>
    <t>DEXTRA QA BUG TRACKER &amp; TICKETS</t>
  </si>
  <si>
    <t>Bug ID</t>
  </si>
  <si>
    <t>Target Module</t>
  </si>
  <si>
    <t>Severity</t>
  </si>
  <si>
    <t>Bug Description</t>
  </si>
  <si>
    <t>Assigned Owner</t>
  </si>
  <si>
    <t>Date Opened</t>
  </si>
  <si>
    <t>Date Closed</t>
  </si>
  <si>
    <t>Resolution Notes</t>
  </si>
  <si>
    <t>B01</t>
  </si>
  <si>
    <t>Medium</t>
  </si>
  <si>
    <t>Closed</t>
  </si>
  <si>
    <t>L02</t>
  </si>
  <si>
    <t>Completed the gui light themed sliders/toggles to configure thresholds, camera indices, and custom wakewords.</t>
  </si>
  <si>
    <t>3hrs</t>
  </si>
  <si>
    <t>Frontend/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</si>
</sst>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9"/>
      <color rgb="FF64748B"/>
      <name val="Segoe UI"/>
    </font>
    <font>
      <b/>
      <sz val="20"/>
      <color rgb="FF0F172A"/>
      <name val="Segoe UI"/>
    </font>
    <font>
      <sz val="11"/>
      <color rgb="FFFFFFFF"/>
      <name val="Calibri"/>
    </font>
    <font>
      <b/>
      <sz val="11"/>
      <color rgb="FF0F172A"/>
      <name val="Segoe UI"/>
    </font>
    <font>
      <b/>
      <sz val="10"/>
      <color rgb="FF000000"/>
      <name val="Segoe UI"/>
    </font>
    <font>
      <b/>
      <sz val="10"/>
      <color rgb="FFFFFFFF"/>
      <name val="Segoe UI"/>
    </font>
    <font>
      <sz val="10"/>
      <color rgb="FF334155"/>
      <name val="Segoe UI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3B82F6"/>
        <bgColor rgb="FF3B82F6"/>
      </patternFill>
    </fill>
    <fill>
      <patternFill patternType="solid">
        <fgColor rgb="FFF8FAFC"/>
        <bgColor rgb="FFF8FAFC"/>
      </patternFill>
    </fill>
    <fill>
      <patternFill patternType="solid">
        <fgColor rgb="FF10B981"/>
        <bgColor rgb="FF10B981"/>
      </patternFill>
    </fill>
    <fill>
      <patternFill patternType="solid">
        <fgColor rgb="FFF59E0B"/>
        <bgColor rgb="FFF59E0B"/>
      </patternFill>
    </fill>
    <fill>
      <patternFill patternType="solid">
        <fgColor rgb="FFEF4444"/>
        <bgColor rgb="FFEF4444"/>
      </patternFill>
    </fill>
    <fill>
      <patternFill patternType="solid">
        <fgColor rgb="FFE2E8F0"/>
        <bgColor rgb="FFE2E8F0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</fills>
  <borders count="8">
    <border>
      <left/>
      <right/>
      <top/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  <xf numFmtId="0" fontId="6" fillId="0" borderId="7" xfId="0" applyFont="1" applyBorder="1"/>
    <xf numFmtId="164" fontId="6" fillId="0" borderId="7" xfId="0" applyNumberFormat="1" applyFont="1" applyBorder="1"/>
    <xf numFmtId="0" fontId="7" fillId="9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165" fontId="8" fillId="0" borderId="7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 wrapText="1"/>
    </xf>
    <xf numFmtId="165" fontId="8" fillId="10" borderId="7" xfId="0" applyNumberFormat="1" applyFont="1" applyFill="1" applyBorder="1" applyAlignment="1">
      <alignment horizontal="center" vertical="center"/>
    </xf>
    <xf numFmtId="3" fontId="6" fillId="10" borderId="7" xfId="0" applyNumberFormat="1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166" fontId="8" fillId="10" borderId="7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7" xfId="0" applyFont="1" applyFill="1" applyBorder="1" applyAlignment="1">
      <alignment horizontal="center"/>
    </xf>
    <xf numFmtId="0" fontId="0" fillId="0" borderId="7" xfId="0" applyBorder="1"/>
    <xf numFmtId="0" fontId="2" fillId="4" borderId="1" xfId="0" applyFont="1" applyFill="1" applyBorder="1"/>
    <xf numFmtId="0" fontId="0" fillId="4" borderId="2" xfId="0" applyFill="1" applyBorder="1"/>
    <xf numFmtId="0" fontId="3" fillId="4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164" fontId="3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12</xdr:col>
      <xdr:colOff>892310</xdr:colOff>
      <xdr:row>36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279D10-D5D4-3E2A-4344-70CDE3B4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171700"/>
          <a:ext cx="9198110" cy="525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8"/>
  <sheetViews>
    <sheetView showGridLines="0" tabSelected="1" zoomScale="72" zoomScaleNormal="40" workbookViewId="0">
      <selection activeCell="Z23" sqref="Z23"/>
    </sheetView>
  </sheetViews>
  <sheetFormatPr defaultRowHeight="14.4" x14ac:dyDescent="0.3"/>
  <cols>
    <col min="2" max="2" width="2" customWidth="1"/>
    <col min="3" max="4" width="14" customWidth="1"/>
    <col min="5" max="5" width="2" customWidth="1"/>
    <col min="6" max="7" width="14" customWidth="1"/>
    <col min="8" max="8" width="2" customWidth="1"/>
    <col min="9" max="9" width="32" customWidth="1"/>
    <col min="10" max="10" width="14" customWidth="1"/>
    <col min="11" max="11" width="2" customWidth="1"/>
    <col min="12" max="13" width="14" customWidth="1"/>
  </cols>
  <sheetData>
    <row r="2" spans="2:19" ht="42" customHeight="1" x14ac:dyDescent="0.3">
      <c r="B2" s="20" t="s">
        <v>0</v>
      </c>
      <c r="C2" s="21"/>
      <c r="D2" s="21"/>
      <c r="E2" s="21"/>
      <c r="F2" s="21"/>
      <c r="G2" s="21"/>
      <c r="H2" s="21"/>
      <c r="I2" s="21"/>
    </row>
    <row r="4" spans="2:19" ht="18" customHeight="1" x14ac:dyDescent="0.3">
      <c r="B4" s="1"/>
      <c r="C4" s="24" t="s">
        <v>1</v>
      </c>
      <c r="D4" s="25"/>
      <c r="E4" s="2"/>
      <c r="F4" s="24" t="s">
        <v>2</v>
      </c>
      <c r="G4" s="25"/>
      <c r="H4" s="3"/>
      <c r="I4" s="24" t="s">
        <v>3</v>
      </c>
      <c r="J4" s="25"/>
      <c r="K4" s="4"/>
      <c r="L4" s="24" t="s">
        <v>4</v>
      </c>
      <c r="M4" s="25"/>
      <c r="O4" s="5" t="s">
        <v>5</v>
      </c>
      <c r="P4" s="5" t="s">
        <v>6</v>
      </c>
      <c r="R4" s="5" t="s">
        <v>7</v>
      </c>
      <c r="S4" s="5" t="s">
        <v>8</v>
      </c>
    </row>
    <row r="5" spans="2:19" ht="18" customHeight="1" x14ac:dyDescent="0.3">
      <c r="B5" s="1"/>
      <c r="C5" s="26">
        <f>'Trello Board &amp; Tasks'!C5</f>
        <v>10</v>
      </c>
      <c r="D5" s="27"/>
      <c r="E5" s="2"/>
      <c r="F5" s="26">
        <f>'Trello Board &amp; Tasks'!C6</f>
        <v>3</v>
      </c>
      <c r="G5" s="27"/>
      <c r="H5" s="3"/>
      <c r="I5" s="30">
        <f>'Trello Board &amp; Tasks'!C7</f>
        <v>0.3</v>
      </c>
      <c r="J5" s="27"/>
      <c r="K5" s="4"/>
      <c r="L5" s="26">
        <f>COUNTIF('Bug Tracker &amp; QA Logs'!F$5:F$15, "Open")</f>
        <v>0</v>
      </c>
      <c r="M5" s="27"/>
      <c r="O5" s="5" t="s">
        <v>9</v>
      </c>
      <c r="P5" s="5">
        <f>SUMIFS('Trello Board &amp; Tasks'!J$12:J$21, 'Trello Board &amp; Tasks'!C$12:C$21, "Salman")</f>
        <v>5</v>
      </c>
      <c r="R5" s="5" t="s">
        <v>10</v>
      </c>
      <c r="S5" s="5">
        <f>COUNTIF('Trello Board &amp; Tasks'!B$12:B$21, "To Do")</f>
        <v>7</v>
      </c>
    </row>
    <row r="6" spans="2:19" ht="18" customHeight="1" x14ac:dyDescent="0.3">
      <c r="B6" s="1"/>
      <c r="C6" s="28"/>
      <c r="D6" s="29"/>
      <c r="E6" s="2"/>
      <c r="F6" s="28"/>
      <c r="G6" s="29"/>
      <c r="H6" s="3"/>
      <c r="I6" s="28"/>
      <c r="J6" s="29"/>
      <c r="K6" s="4"/>
      <c r="L6" s="28"/>
      <c r="M6" s="29"/>
      <c r="O6" s="5" t="s">
        <v>11</v>
      </c>
      <c r="P6" s="5">
        <f>SUMIFS('Trello Board &amp; Tasks'!J$12:J$21, 'Trello Board &amp; Tasks'!C$12:C$21, "Logesh")</f>
        <v>5</v>
      </c>
      <c r="R6" s="5" t="s">
        <v>12</v>
      </c>
      <c r="S6" s="5">
        <f>COUNTIF('Trello Board &amp; Tasks'!B$12:B$21, "In Progress")</f>
        <v>1</v>
      </c>
    </row>
    <row r="7" spans="2:19" x14ac:dyDescent="0.3">
      <c r="O7" s="5" t="s">
        <v>13</v>
      </c>
      <c r="P7" s="5">
        <f>SUMIFS('Trello Board &amp; Tasks'!J$12:J$21, 'Trello Board &amp; Tasks'!C$12:C$21, "Muthamil")</f>
        <v>2</v>
      </c>
      <c r="R7" s="5" t="s">
        <v>14</v>
      </c>
      <c r="S7" s="5">
        <f>COUNTIF('Trello Board &amp; Tasks'!B$12:B$21, "Done")</f>
        <v>2</v>
      </c>
    </row>
    <row r="8" spans="2:19" x14ac:dyDescent="0.3">
      <c r="O8" s="5" t="s">
        <v>15</v>
      </c>
      <c r="P8" s="5">
        <f>SUMIFS('Trello Board &amp; Tasks'!J$12:J$21, 'Trello Board &amp; Tasks'!C$12:C$21, "Godfrey")</f>
        <v>2</v>
      </c>
    </row>
  </sheetData>
  <mergeCells count="9">
    <mergeCell ref="F4:G4"/>
    <mergeCell ref="I4:J4"/>
    <mergeCell ref="L4:M4"/>
    <mergeCell ref="B2:I2"/>
    <mergeCell ref="F5:G6"/>
    <mergeCell ref="C5:D6"/>
    <mergeCell ref="I5:J6"/>
    <mergeCell ref="L5:M6"/>
    <mergeCell ref="C4:D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1"/>
  <sheetViews>
    <sheetView zoomScale="85" workbookViewId="0">
      <selection activeCell="L20" sqref="L20"/>
    </sheetView>
  </sheetViews>
  <sheetFormatPr defaultRowHeight="14.4" x14ac:dyDescent="0.3"/>
  <cols>
    <col min="1" max="1" width="9" customWidth="1"/>
    <col min="2" max="2" width="15" customWidth="1"/>
    <col min="3" max="3" width="12" customWidth="1"/>
    <col min="4" max="4" width="26" customWidth="1"/>
    <col min="5" max="5" width="48" customWidth="1"/>
    <col min="6" max="6" width="28" customWidth="1"/>
    <col min="7" max="7" width="14" customWidth="1"/>
    <col min="8" max="9" width="13" customWidth="1"/>
    <col min="10" max="10" width="15" customWidth="1"/>
    <col min="11" max="11" width="40" customWidth="1"/>
  </cols>
  <sheetData>
    <row r="2" spans="1:11" ht="40.049999999999997" customHeight="1" x14ac:dyDescent="0.3">
      <c r="A2" s="20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16.8" x14ac:dyDescent="0.4">
      <c r="B4" s="22" t="s">
        <v>17</v>
      </c>
      <c r="C4" s="23"/>
      <c r="D4" s="23"/>
    </row>
    <row r="5" spans="1:11" ht="15" x14ac:dyDescent="0.35">
      <c r="B5" s="6" t="s">
        <v>18</v>
      </c>
      <c r="C5" s="6">
        <f>COUNTA(A12:A21)</f>
        <v>10</v>
      </c>
      <c r="D5" s="6"/>
    </row>
    <row r="6" spans="1:11" ht="15" x14ac:dyDescent="0.35">
      <c r="B6" s="6" t="s">
        <v>19</v>
      </c>
      <c r="C6" s="6">
        <f>COUNTIF(G12:G21, TRUE)</f>
        <v>3</v>
      </c>
      <c r="D6" s="6"/>
    </row>
    <row r="7" spans="1:11" ht="15" x14ac:dyDescent="0.35">
      <c r="B7" s="6" t="s">
        <v>20</v>
      </c>
      <c r="C7" s="7">
        <f>IF(C5&gt;0, C6/C5, 0)</f>
        <v>0.3</v>
      </c>
      <c r="D7" s="6"/>
    </row>
    <row r="11" spans="1:11" ht="60.6" customHeight="1" x14ac:dyDescent="0.3">
      <c r="A11" s="8" t="s">
        <v>21</v>
      </c>
      <c r="B11" s="8" t="s">
        <v>22</v>
      </c>
      <c r="C11" s="8" t="s">
        <v>23</v>
      </c>
      <c r="D11" s="8" t="s">
        <v>24</v>
      </c>
      <c r="E11" s="8" t="s">
        <v>25</v>
      </c>
      <c r="F11" s="8" t="s">
        <v>26</v>
      </c>
      <c r="G11" s="8" t="s">
        <v>27</v>
      </c>
      <c r="H11" s="8" t="s">
        <v>28</v>
      </c>
      <c r="I11" s="8" t="s">
        <v>29</v>
      </c>
      <c r="J11" s="8" t="s">
        <v>30</v>
      </c>
      <c r="K11" s="8" t="s">
        <v>31</v>
      </c>
    </row>
    <row r="12" spans="1:11" ht="60.6" customHeight="1" x14ac:dyDescent="0.3">
      <c r="A12" s="9" t="s">
        <v>32</v>
      </c>
      <c r="B12" s="9" t="s">
        <v>14</v>
      </c>
      <c r="C12" s="9" t="s">
        <v>9</v>
      </c>
      <c r="D12" s="10" t="s">
        <v>33</v>
      </c>
      <c r="E12" s="10" t="s">
        <v>34</v>
      </c>
      <c r="F12" s="10" t="s">
        <v>35</v>
      </c>
      <c r="G12" s="9" t="b">
        <v>1</v>
      </c>
      <c r="H12" s="11">
        <v>46199</v>
      </c>
      <c r="I12" s="11">
        <v>46200</v>
      </c>
      <c r="J12" s="12">
        <f t="shared" ref="J12:J21" si="0">I12-H12</f>
        <v>1</v>
      </c>
      <c r="K12" s="10" t="s">
        <v>36</v>
      </c>
    </row>
    <row r="13" spans="1:11" ht="60.6" customHeight="1" x14ac:dyDescent="0.3">
      <c r="A13" s="13" t="s">
        <v>37</v>
      </c>
      <c r="B13" s="13" t="s">
        <v>10</v>
      </c>
      <c r="C13" s="13" t="s">
        <v>9</v>
      </c>
      <c r="D13" s="14" t="s">
        <v>38</v>
      </c>
      <c r="E13" s="14" t="s">
        <v>39</v>
      </c>
      <c r="F13" s="14" t="s">
        <v>40</v>
      </c>
      <c r="G13" s="13" t="b">
        <v>0</v>
      </c>
      <c r="H13" s="15">
        <v>46201</v>
      </c>
      <c r="I13" s="15">
        <v>46203</v>
      </c>
      <c r="J13" s="16">
        <f t="shared" si="0"/>
        <v>2</v>
      </c>
      <c r="K13" s="14" t="s">
        <v>41</v>
      </c>
    </row>
    <row r="14" spans="1:11" ht="60.6" customHeight="1" x14ac:dyDescent="0.3">
      <c r="A14" s="9" t="s">
        <v>42</v>
      </c>
      <c r="B14" s="9" t="s">
        <v>10</v>
      </c>
      <c r="C14" s="9" t="s">
        <v>9</v>
      </c>
      <c r="D14" s="10" t="s">
        <v>43</v>
      </c>
      <c r="E14" s="10" t="s">
        <v>44</v>
      </c>
      <c r="F14" s="10" t="s">
        <v>45</v>
      </c>
      <c r="G14" s="9" t="b">
        <v>0</v>
      </c>
      <c r="H14" s="11">
        <v>46201</v>
      </c>
      <c r="I14" s="11">
        <v>46203</v>
      </c>
      <c r="J14" s="12">
        <f t="shared" si="0"/>
        <v>2</v>
      </c>
      <c r="K14" s="10" t="s">
        <v>46</v>
      </c>
    </row>
    <row r="15" spans="1:11" ht="60.6" customHeight="1" x14ac:dyDescent="0.3">
      <c r="A15" s="13" t="s">
        <v>47</v>
      </c>
      <c r="B15" s="13" t="s">
        <v>10</v>
      </c>
      <c r="C15" s="13" t="s">
        <v>11</v>
      </c>
      <c r="D15" s="14" t="s">
        <v>48</v>
      </c>
      <c r="E15" s="14" t="s">
        <v>49</v>
      </c>
      <c r="F15" s="14" t="s">
        <v>50</v>
      </c>
      <c r="G15" s="13" t="b">
        <v>0</v>
      </c>
      <c r="H15" s="15">
        <v>46204</v>
      </c>
      <c r="I15" s="15">
        <v>46206</v>
      </c>
      <c r="J15" s="16">
        <f t="shared" si="0"/>
        <v>2</v>
      </c>
      <c r="K15" s="14" t="s">
        <v>51</v>
      </c>
    </row>
    <row r="16" spans="1:11" ht="60.6" customHeight="1" x14ac:dyDescent="0.3">
      <c r="A16" s="9" t="s">
        <v>52</v>
      </c>
      <c r="B16" s="9" t="s">
        <v>10</v>
      </c>
      <c r="C16" s="9" t="s">
        <v>11</v>
      </c>
      <c r="D16" s="10" t="s">
        <v>53</v>
      </c>
      <c r="E16" s="10" t="s">
        <v>54</v>
      </c>
      <c r="F16" s="10" t="s">
        <v>55</v>
      </c>
      <c r="G16" s="9" t="b">
        <v>0</v>
      </c>
      <c r="H16" s="11">
        <v>46204</v>
      </c>
      <c r="I16" s="11">
        <v>46206</v>
      </c>
      <c r="J16" s="12">
        <f t="shared" si="0"/>
        <v>2</v>
      </c>
      <c r="K16" s="10" t="s">
        <v>56</v>
      </c>
    </row>
    <row r="17" spans="1:11" ht="60.6" customHeight="1" x14ac:dyDescent="0.3">
      <c r="A17" s="13" t="s">
        <v>57</v>
      </c>
      <c r="B17" s="13" t="s">
        <v>10</v>
      </c>
      <c r="C17" s="13" t="s">
        <v>11</v>
      </c>
      <c r="D17" s="14" t="s">
        <v>58</v>
      </c>
      <c r="E17" s="14" t="s">
        <v>59</v>
      </c>
      <c r="F17" s="14" t="s">
        <v>60</v>
      </c>
      <c r="G17" s="13" t="b">
        <v>0</v>
      </c>
      <c r="H17" s="15">
        <v>46207</v>
      </c>
      <c r="I17" s="15">
        <v>46208</v>
      </c>
      <c r="J17" s="16">
        <f t="shared" si="0"/>
        <v>1</v>
      </c>
      <c r="K17" s="14" t="s">
        <v>61</v>
      </c>
    </row>
    <row r="18" spans="1:11" ht="60.6" customHeight="1" x14ac:dyDescent="0.3">
      <c r="A18" s="9" t="s">
        <v>62</v>
      </c>
      <c r="B18" s="9" t="s">
        <v>10</v>
      </c>
      <c r="C18" s="9" t="s">
        <v>13</v>
      </c>
      <c r="D18" s="10" t="s">
        <v>63</v>
      </c>
      <c r="E18" s="10" t="s">
        <v>64</v>
      </c>
      <c r="F18" s="10" t="s">
        <v>65</v>
      </c>
      <c r="G18" s="9" t="b">
        <v>0</v>
      </c>
      <c r="H18" s="11">
        <v>46199</v>
      </c>
      <c r="I18" s="11">
        <v>46200</v>
      </c>
      <c r="J18" s="12">
        <f t="shared" si="0"/>
        <v>1</v>
      </c>
      <c r="K18" s="10" t="s">
        <v>66</v>
      </c>
    </row>
    <row r="19" spans="1:11" ht="60.6" customHeight="1" x14ac:dyDescent="0.3">
      <c r="A19" s="13" t="s">
        <v>67</v>
      </c>
      <c r="B19" s="13" t="s">
        <v>10</v>
      </c>
      <c r="C19" s="13" t="s">
        <v>13</v>
      </c>
      <c r="D19" s="14" t="s">
        <v>68</v>
      </c>
      <c r="E19" s="14" t="s">
        <v>69</v>
      </c>
      <c r="F19" s="14" t="s">
        <v>70</v>
      </c>
      <c r="G19" s="13" t="b">
        <v>0</v>
      </c>
      <c r="H19" s="15">
        <v>46207</v>
      </c>
      <c r="I19" s="15">
        <v>46208</v>
      </c>
      <c r="J19" s="16">
        <f t="shared" si="0"/>
        <v>1</v>
      </c>
      <c r="K19" s="14" t="s">
        <v>71</v>
      </c>
    </row>
    <row r="20" spans="1:11" ht="60.6" customHeight="1" x14ac:dyDescent="0.3">
      <c r="A20" s="9" t="s">
        <v>72</v>
      </c>
      <c r="B20" s="9" t="s">
        <v>14</v>
      </c>
      <c r="C20" s="9" t="s">
        <v>15</v>
      </c>
      <c r="D20" s="10" t="s">
        <v>73</v>
      </c>
      <c r="E20" s="10" t="s">
        <v>74</v>
      </c>
      <c r="F20" s="10" t="s">
        <v>103</v>
      </c>
      <c r="G20" s="9" t="b">
        <v>1</v>
      </c>
      <c r="H20" s="11">
        <v>46199</v>
      </c>
      <c r="I20" s="11">
        <v>46200</v>
      </c>
      <c r="J20" s="12">
        <f t="shared" si="0"/>
        <v>1</v>
      </c>
      <c r="K20" s="10" t="s">
        <v>75</v>
      </c>
    </row>
    <row r="21" spans="1:11" ht="60.6" customHeight="1" x14ac:dyDescent="0.3">
      <c r="A21" s="13" t="s">
        <v>76</v>
      </c>
      <c r="B21" s="13" t="s">
        <v>12</v>
      </c>
      <c r="C21" s="13" t="s">
        <v>15</v>
      </c>
      <c r="D21" s="14" t="s">
        <v>77</v>
      </c>
      <c r="E21" s="14" t="s">
        <v>78</v>
      </c>
      <c r="F21" s="10" t="s">
        <v>103</v>
      </c>
      <c r="G21" s="9" t="b">
        <v>1</v>
      </c>
      <c r="H21" s="15">
        <v>46209</v>
      </c>
      <c r="I21" s="15">
        <v>46210</v>
      </c>
      <c r="J21" s="16">
        <f t="shared" si="0"/>
        <v>1</v>
      </c>
      <c r="K21" s="14" t="s">
        <v>79</v>
      </c>
    </row>
  </sheetData>
  <mergeCells count="2">
    <mergeCell ref="A2:K2"/>
    <mergeCell ref="B4:D4"/>
  </mergeCells>
  <dataValidations count="1">
    <dataValidation type="list" allowBlank="1" sqref="B12:B21" xr:uid="{00000000-0002-0000-0100-000000000000}">
      <formula1>"To Do,In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0"/>
  <sheetViews>
    <sheetView workbookViewId="0">
      <selection activeCell="E7" sqref="E7"/>
    </sheetView>
  </sheetViews>
  <sheetFormatPr defaultRowHeight="14.4" x14ac:dyDescent="0.3"/>
  <cols>
    <col min="1" max="1" width="10" customWidth="1"/>
    <col min="2" max="3" width="14" customWidth="1"/>
    <col min="4" max="4" width="18" customWidth="1"/>
    <col min="5" max="5" width="65" customWidth="1"/>
    <col min="6" max="6" width="15" customWidth="1"/>
    <col min="7" max="7" width="16" customWidth="1"/>
  </cols>
  <sheetData>
    <row r="2" spans="1:7" ht="40.049999999999997" customHeight="1" x14ac:dyDescent="0.3">
      <c r="A2" s="20" t="s">
        <v>80</v>
      </c>
      <c r="B2" s="21"/>
      <c r="C2" s="21"/>
      <c r="D2" s="21"/>
      <c r="E2" s="21"/>
      <c r="F2" s="21"/>
      <c r="G2" s="21"/>
    </row>
    <row r="4" spans="1:7" ht="45" customHeight="1" x14ac:dyDescent="0.3">
      <c r="A4" s="17" t="s">
        <v>81</v>
      </c>
      <c r="B4" s="17" t="s">
        <v>82</v>
      </c>
      <c r="C4" s="17" t="s">
        <v>5</v>
      </c>
      <c r="D4" s="17" t="s">
        <v>83</v>
      </c>
      <c r="E4" s="17" t="s">
        <v>84</v>
      </c>
      <c r="F4" s="17" t="s">
        <v>85</v>
      </c>
      <c r="G4" s="17" t="s">
        <v>86</v>
      </c>
    </row>
    <row r="5" spans="1:7" ht="45" customHeight="1" x14ac:dyDescent="0.3">
      <c r="A5" s="9" t="s">
        <v>87</v>
      </c>
      <c r="B5" s="11">
        <v>46199</v>
      </c>
      <c r="C5" s="9"/>
      <c r="D5" s="9" t="s">
        <v>32</v>
      </c>
      <c r="E5" s="10"/>
      <c r="F5" s="18"/>
      <c r="G5" s="9"/>
    </row>
    <row r="6" spans="1:7" ht="45" customHeight="1" x14ac:dyDescent="0.3">
      <c r="A6" s="9" t="s">
        <v>100</v>
      </c>
      <c r="B6" s="11">
        <v>46200</v>
      </c>
      <c r="C6" s="13" t="s">
        <v>15</v>
      </c>
      <c r="D6" s="13" t="s">
        <v>72</v>
      </c>
      <c r="E6" s="14" t="s">
        <v>101</v>
      </c>
      <c r="F6" s="19" t="s">
        <v>102</v>
      </c>
      <c r="G6" s="13" t="s">
        <v>14</v>
      </c>
    </row>
    <row r="7" spans="1:7" ht="45" customHeight="1" x14ac:dyDescent="0.3">
      <c r="A7" s="9"/>
      <c r="B7" s="11"/>
      <c r="C7" s="9"/>
      <c r="D7" s="9"/>
      <c r="E7" s="10"/>
      <c r="F7" s="18"/>
      <c r="G7" s="9"/>
    </row>
    <row r="8" spans="1:7" ht="45" customHeight="1" x14ac:dyDescent="0.3">
      <c r="A8" s="13"/>
      <c r="B8" s="15"/>
      <c r="C8" s="13"/>
      <c r="D8" s="13"/>
      <c r="E8" s="14"/>
      <c r="F8" s="19"/>
      <c r="G8" s="13"/>
    </row>
    <row r="9" spans="1:7" ht="45" customHeight="1" x14ac:dyDescent="0.3">
      <c r="A9" s="9"/>
      <c r="B9" s="11"/>
      <c r="C9" s="9"/>
      <c r="D9" s="9"/>
      <c r="E9" s="10"/>
      <c r="F9" s="18"/>
      <c r="G9" s="9"/>
    </row>
    <row r="10" spans="1:7" ht="45" customHeight="1" x14ac:dyDescent="0.3">
      <c r="A10" s="13"/>
      <c r="B10" s="15"/>
      <c r="C10" s="13"/>
      <c r="D10" s="13"/>
      <c r="E10" s="14"/>
      <c r="F10" s="19"/>
      <c r="G10" s="13"/>
    </row>
  </sheetData>
  <mergeCells count="1">
    <mergeCell ref="A2:G2"/>
  </mergeCells>
  <phoneticPr fontId="9" type="noConversion"/>
  <dataValidations count="3">
    <dataValidation type="list" allowBlank="1" sqref="C5:C10" xr:uid="{00000000-0002-0000-0200-000000000000}">
      <formula1>"Salman,Logesh,Muthamil,Godfrey"</formula1>
    </dataValidation>
    <dataValidation type="list" allowBlank="1" sqref="D5:D10" xr:uid="{00000000-0002-0000-0200-000001000000}">
      <formula1>"T01,T02,T03,T04,T05,T06,T07,T08,T09,T10"</formula1>
    </dataValidation>
    <dataValidation type="list" allowBlank="1" showInputMessage="1" showErrorMessage="1" sqref="G5" xr:uid="{A09B565B-9577-4881-9939-CD2403D20868}">
      <formula1>"In Progess, 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1"/>
  <sheetViews>
    <sheetView workbookViewId="0">
      <selection activeCell="H5" sqref="H5"/>
    </sheetView>
  </sheetViews>
  <sheetFormatPr defaultRowHeight="14.4" x14ac:dyDescent="0.3"/>
  <cols>
    <col min="1" max="1" width="10" customWidth="1"/>
    <col min="2" max="2" width="22" customWidth="1"/>
    <col min="3" max="3" width="12" customWidth="1"/>
    <col min="4" max="4" width="45" customWidth="1"/>
    <col min="5" max="5" width="16" customWidth="1"/>
    <col min="6" max="8" width="14" customWidth="1"/>
    <col min="9" max="9" width="40" customWidth="1"/>
  </cols>
  <sheetData>
    <row r="2" spans="1:9" ht="40.049999999999997" customHeight="1" x14ac:dyDescent="0.3">
      <c r="A2" s="20" t="s">
        <v>88</v>
      </c>
      <c r="B2" s="21"/>
      <c r="C2" s="21"/>
      <c r="D2" s="21"/>
      <c r="E2" s="21"/>
      <c r="F2" s="21"/>
      <c r="G2" s="21"/>
      <c r="H2" s="21"/>
      <c r="I2" s="21"/>
    </row>
    <row r="4" spans="1:9" ht="24" customHeight="1" x14ac:dyDescent="0.3">
      <c r="A4" s="17" t="s">
        <v>89</v>
      </c>
      <c r="B4" s="17" t="s">
        <v>90</v>
      </c>
      <c r="C4" s="17" t="s">
        <v>91</v>
      </c>
      <c r="D4" s="17" t="s">
        <v>92</v>
      </c>
      <c r="E4" s="17" t="s">
        <v>93</v>
      </c>
      <c r="F4" s="17" t="s">
        <v>7</v>
      </c>
      <c r="G4" s="17" t="s">
        <v>94</v>
      </c>
      <c r="H4" s="17" t="s">
        <v>95</v>
      </c>
      <c r="I4" s="17" t="s">
        <v>96</v>
      </c>
    </row>
    <row r="5" spans="1:9" ht="41.4" customHeight="1" x14ac:dyDescent="0.3">
      <c r="A5" s="9" t="s">
        <v>97</v>
      </c>
      <c r="B5" s="10"/>
      <c r="C5" s="9" t="s">
        <v>98</v>
      </c>
      <c r="D5" s="10"/>
      <c r="E5" s="9"/>
      <c r="F5" s="9" t="s">
        <v>99</v>
      </c>
      <c r="G5" s="11">
        <v>46201</v>
      </c>
      <c r="H5" s="11">
        <v>46201</v>
      </c>
      <c r="I5" s="10"/>
    </row>
    <row r="6" spans="1:9" ht="41.4" customHeight="1" x14ac:dyDescent="0.3">
      <c r="A6" s="13"/>
      <c r="B6" s="14"/>
      <c r="C6" s="13"/>
      <c r="D6" s="14"/>
      <c r="E6" s="13"/>
      <c r="F6" s="13"/>
      <c r="G6" s="15"/>
      <c r="H6" s="15"/>
      <c r="I6" s="14"/>
    </row>
    <row r="7" spans="1:9" ht="41.4" customHeight="1" x14ac:dyDescent="0.3"/>
    <row r="8" spans="1:9" ht="41.4" customHeight="1" x14ac:dyDescent="0.3"/>
    <row r="9" spans="1:9" ht="41.4" customHeight="1" x14ac:dyDescent="0.3"/>
    <row r="10" spans="1:9" ht="41.4" customHeight="1" x14ac:dyDescent="0.3"/>
    <row r="11" spans="1:9" ht="41.4" customHeight="1" x14ac:dyDescent="0.3"/>
  </sheetData>
  <mergeCells count="1">
    <mergeCell ref="A2:I2"/>
  </mergeCells>
  <conditionalFormatting sqref="F5:F15">
    <cfRule type="cellIs" dxfId="0" priority="1" operator="equal">
      <formula>"Open"</formula>
    </cfRule>
  </conditionalFormatting>
  <dataValidations count="2">
    <dataValidation type="list" allowBlank="1" sqref="C5:C10" xr:uid="{00000000-0002-0000-0300-000000000000}">
      <formula1>"High,Medium,Low"</formula1>
    </dataValidation>
    <dataValidation type="list" allowBlank="1" sqref="F5:F10" xr:uid="{00000000-0002-0000-0300-000001000000}">
      <formula1>"Open,Investigation,Resolved,Closed"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Dashboard</vt:lpstr>
      <vt:lpstr>Trello Board &amp; Tasks</vt:lpstr>
      <vt:lpstr>Developer Worklogs</vt:lpstr>
      <vt:lpstr>Bug Tracker &amp; QA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TheOrion GD</cp:lastModifiedBy>
  <dcterms:created xsi:type="dcterms:W3CDTF">2026-06-25T07:14:49Z</dcterms:created>
  <dcterms:modified xsi:type="dcterms:W3CDTF">2026-07-03T17:57:46Z</dcterms:modified>
</cp:coreProperties>
</file>